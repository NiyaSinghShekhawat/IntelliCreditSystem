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2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0&quot;%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1B5E20"/>
      <sz val="10"/>
    </font>
    <font>
      <name val="Arial"/>
      <color rgb="00B71C1C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B71C1C"/>
      <sz val="10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0069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 wrapText="1"/>
    </xf>
    <xf numFmtId="0" fontId="5" fillId="3" borderId="0" pivotButton="0" quotePrefix="0" xfId="0"/>
    <xf numFmtId="164" fontId="3" fillId="3" borderId="0" applyAlignment="1" pivotButton="0" quotePrefix="0" xfId="0">
      <alignment horizontal="right"/>
    </xf>
    <xf numFmtId="0" fontId="6" fillId="3" borderId="0" applyAlignment="1" pivotButton="0" quotePrefix="0" xfId="0">
      <alignment horizontal="center"/>
    </xf>
    <xf numFmtId="0" fontId="5" fillId="4" borderId="0" pivotButton="0" quotePrefix="0" xfId="0"/>
    <xf numFmtId="164" fontId="3" fillId="4" borderId="0" applyAlignment="1" pivotButton="0" quotePrefix="0" xfId="0">
      <alignment horizontal="right"/>
    </xf>
    <xf numFmtId="0" fontId="6" fillId="4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8" fillId="5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right"/>
    </xf>
    <xf numFmtId="164" fontId="10" fillId="0" borderId="0" applyAlignment="1" pivotButton="0" quotePrefix="0" xfId="0">
      <alignment horizontal="right"/>
    </xf>
    <xf numFmtId="165" fontId="10" fillId="0" borderId="0" applyAlignment="1" pivotButton="0" quotePrefix="0" xfId="0">
      <alignment horizontal="right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16" customWidth="1" min="4" max="4"/>
    <col width="16" customWidth="1" min="5" max="5"/>
  </cols>
  <sheetData>
    <row r="1" ht="36" customHeight="1">
      <c r="A1" s="1" t="inlineStr">
        <is>
          <t>GSTR-2A (Auto-Drafted) | Lakme Lever Pvt Ltd | FY 2023-24</t>
        </is>
      </c>
    </row>
    <row r="3">
      <c r="A3" s="2" t="inlineStr">
        <is>
          <t>Legal Name</t>
        </is>
      </c>
      <c r="B3" s="3" t="inlineStr">
        <is>
          <t>Lakme Lever Pvt Ltd</t>
        </is>
      </c>
    </row>
    <row r="4">
      <c r="A4" s="2" t="inlineStr">
        <is>
          <t>GSTIN</t>
        </is>
      </c>
      <c r="B4" s="3" t="inlineStr">
        <is>
          <t>27AABCL9876R1ZX</t>
        </is>
      </c>
    </row>
    <row r="5">
      <c r="A5" s="2" t="inlineStr">
        <is>
          <t>Tax Period</t>
        </is>
      </c>
      <c r="B5" s="3" t="inlineStr">
        <is>
          <t>April 2023 – March 2024</t>
        </is>
      </c>
    </row>
    <row r="6">
      <c r="A6" s="2" t="inlineStr">
        <is>
          <t>Data Source</t>
        </is>
      </c>
      <c r="B6" s="3" t="inlineStr">
        <is>
          <t>Auto-populated from supplier GSTR-1 filings</t>
        </is>
      </c>
    </row>
    <row r="8" ht="28" customHeight="1">
      <c r="A8" s="4" t="inlineStr">
        <is>
          <t>Supplier Name</t>
        </is>
      </c>
      <c r="B8" s="4" t="inlineStr">
        <is>
          <t>GSTIN</t>
        </is>
      </c>
      <c r="C8" s="4" t="inlineStr">
        <is>
          <t>Invoice Value (₹)</t>
        </is>
      </c>
      <c r="D8" s="4" t="inlineStr">
        <is>
          <t>ITC Available (₹)</t>
        </is>
      </c>
      <c r="E8" s="4" t="inlineStr">
        <is>
          <t>Filing Status</t>
        </is>
      </c>
    </row>
    <row r="9">
      <c r="A9" s="5" t="inlineStr">
        <is>
          <t>Hindustan Unilever Ltd</t>
        </is>
      </c>
      <c r="B9" s="5" t="inlineStr">
        <is>
          <t>27AAACH1234R1ZX</t>
        </is>
      </c>
      <c r="C9" s="6" t="n">
        <v>385000000</v>
      </c>
      <c r="D9" s="6" t="n">
        <v>32000000</v>
      </c>
      <c r="E9" s="7" t="inlineStr">
        <is>
          <t>Filed ✅</t>
        </is>
      </c>
    </row>
    <row r="10">
      <c r="A10" s="8" t="inlineStr">
        <is>
          <t>Emami Ltd</t>
        </is>
      </c>
      <c r="B10" s="8" t="inlineStr">
        <is>
          <t>19AAACE4567L1ZX</t>
        </is>
      </c>
      <c r="C10" s="9" t="n">
        <v>124000000</v>
      </c>
      <c r="D10" s="9" t="n">
        <v>9800000</v>
      </c>
      <c r="E10" s="10" t="inlineStr">
        <is>
          <t>Filed ✅</t>
        </is>
      </c>
    </row>
    <row r="11">
      <c r="A11" s="5" t="inlineStr">
        <is>
          <t>BASF India Ltd</t>
        </is>
      </c>
      <c r="B11" s="5" t="inlineStr">
        <is>
          <t>27AAACB3456K1ZX</t>
        </is>
      </c>
      <c r="C11" s="6" t="n">
        <v>86000000</v>
      </c>
      <c r="D11" s="6" t="n">
        <v>7200000</v>
      </c>
      <c r="E11" s="7" t="inlineStr">
        <is>
          <t>Filed ✅</t>
        </is>
      </c>
    </row>
    <row r="12">
      <c r="A12" s="8" t="inlineStr">
        <is>
          <t>Dow Chemical India</t>
        </is>
      </c>
      <c r="B12" s="8" t="inlineStr">
        <is>
          <t>27AAACD8765M1ZX</t>
        </is>
      </c>
      <c r="C12" s="9" t="n">
        <v>62000000</v>
      </c>
      <c r="D12" s="9" t="n">
        <v>5000000</v>
      </c>
      <c r="E12" s="11" t="inlineStr">
        <is>
          <t>Delayed ⚠️</t>
        </is>
      </c>
    </row>
    <row r="13">
      <c r="A13" s="5" t="inlineStr">
        <is>
          <t>Clariant Chemicals India</t>
        </is>
      </c>
      <c r="B13" s="5" t="inlineStr">
        <is>
          <t>27AAACC2345N1ZX</t>
        </is>
      </c>
      <c r="C13" s="6" t="n">
        <v>51000000</v>
      </c>
      <c r="D13" s="6" t="n">
        <v>4200000</v>
      </c>
      <c r="E13" s="7" t="inlineStr">
        <is>
          <t>Filed ✅</t>
        </is>
      </c>
    </row>
    <row r="14">
      <c r="A14" s="8" t="inlineStr">
        <is>
          <t>Sonata Software (IT Svcs)</t>
        </is>
      </c>
      <c r="B14" s="8" t="inlineStr">
        <is>
          <t>27AAAAS5678P1ZX</t>
        </is>
      </c>
      <c r="C14" s="9" t="n">
        <v>38000000</v>
      </c>
      <c r="D14" s="9" t="n">
        <v>3200000</v>
      </c>
      <c r="E14" s="10" t="inlineStr">
        <is>
          <t>Filed ✅</t>
        </is>
      </c>
    </row>
    <row r="15">
      <c r="A15" s="5" t="inlineStr">
        <is>
          <t>Packaging Corp of India</t>
        </is>
      </c>
      <c r="B15" s="5" t="inlineStr">
        <is>
          <t>27AAACP9012Q1ZX</t>
        </is>
      </c>
      <c r="C15" s="6" t="n">
        <v>42000000</v>
      </c>
      <c r="D15" s="6" t="n">
        <v>3400000</v>
      </c>
      <c r="E15" s="7" t="inlineStr">
        <is>
          <t>Filed ✅</t>
        </is>
      </c>
    </row>
    <row r="16">
      <c r="A16" s="8" t="inlineStr">
        <is>
          <t>Misc. Small Suppliers (18)</t>
        </is>
      </c>
      <c r="B16" s="8" t="inlineStr">
        <is>
          <t>Various</t>
        </is>
      </c>
      <c r="C16" s="9" t="n">
        <v>68000000</v>
      </c>
      <c r="D16" s="9" t="n">
        <v>4200000</v>
      </c>
      <c r="E16" s="11" t="inlineStr">
        <is>
          <t>Partial ⚠️</t>
        </is>
      </c>
    </row>
    <row r="17">
      <c r="A17" s="12" t="inlineStr">
        <is>
          <t>TOTALS</t>
        </is>
      </c>
    </row>
    <row r="18">
      <c r="A18" s="2" t="inlineStr">
        <is>
          <t>Total Invoice Value (GSTR-2A)</t>
        </is>
      </c>
      <c r="C18" s="13">
        <f>SUM(C9:C16)</f>
        <v/>
      </c>
    </row>
    <row r="19">
      <c r="A19" s="2" t="inlineStr">
        <is>
          <t>Net ITC Available (GSTR-2A)</t>
        </is>
      </c>
      <c r="D19" s="13">
        <f>SUM(D9:D16)</f>
        <v/>
      </c>
    </row>
    <row r="21">
      <c r="A21" s="2" t="inlineStr">
        <is>
          <t>RECONCILIATION NOTE</t>
        </is>
      </c>
    </row>
    <row r="22">
      <c r="A22" s="14" t="inlineStr">
        <is>
          <t>ITC Claimed in GSTR-3B</t>
        </is>
      </c>
      <c r="D22" s="15" t="n">
        <v>110000000</v>
      </c>
    </row>
    <row r="23">
      <c r="A23" s="14" t="inlineStr">
        <is>
          <t>ITC Available in GSTR-2A</t>
        </is>
      </c>
      <c r="D23" s="15">
        <f>D21</f>
        <v/>
      </c>
    </row>
    <row r="24">
      <c r="A24" s="14" t="inlineStr">
        <is>
          <t>Variance (3B - 2A)</t>
        </is>
      </c>
      <c r="D24" s="16">
        <f>D21-D22</f>
        <v/>
      </c>
    </row>
    <row r="25">
      <c r="A25" s="14" t="inlineStr">
        <is>
          <t>Variance % (should be &lt; 10%)</t>
        </is>
      </c>
      <c r="D25" s="17">
        <f>IF(D23=0,0,(D22/D23-1)*100)</f>
        <v/>
      </c>
    </row>
    <row r="26">
      <c r="A26" s="14" t="inlineStr">
        <is>
          <t>Risk Assessment</t>
        </is>
      </c>
      <c r="D26" s="18" t="inlineStr">
        <is>
          <t>⚠️ Moderate — Variance driven by 2 delayed suppliers. GST audit recommended.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2026-03-07T08:38:54Z</dcterms:created>
  <dcterms:modified xmlns:dcterms="http://purl.org/dc/terms/" xmlns:xsi="http://www.w3.org/2001/XMLSchema-instance" xsi:type="dcterms:W3CDTF">2026-03-07T08:38:54Z</dcterms:modified>
</cp:coreProperties>
</file>
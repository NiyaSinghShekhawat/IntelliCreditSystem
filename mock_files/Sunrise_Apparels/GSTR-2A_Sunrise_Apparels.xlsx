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1F4E79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6100"/>
      <sz val="11"/>
    </font>
    <font>
      <name val="Arial"/>
      <b val="1"/>
      <color rgb="00FF0000"/>
      <sz val="10"/>
    </font>
    <font>
      <name val="Arial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4" fontId="0" fillId="0" borderId="0" pivotButton="0" quotePrefix="0" xfId="0"/>
    <xf numFmtId="0" fontId="7" fillId="5" borderId="0" pivotButton="0" quotePrefix="0" xfId="0"/>
    <xf numFmtId="164" fontId="8" fillId="5" borderId="0" pivotButton="0" quotePrefix="0" xfId="0"/>
    <xf numFmtId="0" fontId="9" fillId="6" borderId="0" applyAlignment="1" pivotButton="0" quotePrefix="0" xfId="0">
      <alignment horizontal="center"/>
    </xf>
    <xf numFmtId="0" fontId="7" fillId="0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4" customWidth="1" min="4" max="4"/>
    <col width="16" customWidth="1" min="5" max="5"/>
    <col width="18" customWidth="1" min="6" max="6"/>
    <col width="16" customWidth="1" min="7" max="7"/>
  </cols>
  <sheetData>
    <row r="1" ht="30" customHeight="1">
      <c r="A1" s="1" t="inlineStr">
        <is>
          <t>GSTR-2A — Auto-populated Inward Supplies | Sunrise Apparels Pvt Ltd</t>
        </is>
      </c>
    </row>
    <row r="2">
      <c r="A2" s="2" t="inlineStr">
        <is>
          <t>GSTIN: 27AAFCS1234M1Z5  |  FY 2024-25  |  Auto-populated from supplier filings  |  Source: GSTN Portal</t>
        </is>
      </c>
    </row>
    <row r="4">
      <c r="A4" s="2" t="inlineStr">
        <is>
          <t>Supplier-wise ITC Available (as declared by suppliers in their GSTR-1)</t>
        </is>
      </c>
    </row>
    <row r="5">
      <c r="A5" s="3" t="inlineStr">
        <is>
          <t>Sr.</t>
        </is>
      </c>
      <c r="B5" s="3" t="inlineStr">
        <is>
          <t>Supplier Name</t>
        </is>
      </c>
      <c r="C5" s="3" t="inlineStr">
        <is>
          <t>Supplier GSTIN</t>
        </is>
      </c>
      <c r="D5" s="3" t="inlineStr">
        <is>
          <t>Invoice Date</t>
        </is>
      </c>
      <c r="E5" s="3" t="inlineStr">
        <is>
          <t>IGST (₹)</t>
        </is>
      </c>
      <c r="F5" s="3" t="inlineStr">
        <is>
          <t>CGST+SGST (₹)</t>
        </is>
      </c>
      <c r="G5" s="3" t="inlineStr">
        <is>
          <t>Total ITC (₹)</t>
        </is>
      </c>
    </row>
    <row r="6">
      <c r="A6" s="4" t="n">
        <v>1</v>
      </c>
      <c r="B6" s="5" t="inlineStr">
        <is>
          <t>Rajasthan Cotton Mills Ltd</t>
        </is>
      </c>
      <c r="C6" s="6" t="inlineStr">
        <is>
          <t>08AABCR5678K1ZP</t>
        </is>
      </c>
      <c r="D6" s="5" t="inlineStr">
        <is>
          <t>15-Apr-24</t>
        </is>
      </c>
      <c r="E6" s="7" t="n">
        <v>320000</v>
      </c>
      <c r="F6" s="7" t="n">
        <v>160000</v>
      </c>
      <c r="G6" s="8">
        <f>E6+F6</f>
        <v/>
      </c>
    </row>
    <row r="7">
      <c r="A7" s="4" t="n">
        <v>2</v>
      </c>
      <c r="B7" s="5" t="inlineStr">
        <is>
          <t>Bharat Yarn Suppliers</t>
        </is>
      </c>
      <c r="C7" s="6" t="inlineStr">
        <is>
          <t>24AABHB4321L1ZQ</t>
        </is>
      </c>
      <c r="D7" s="5" t="inlineStr">
        <is>
          <t>22-Apr-24</t>
        </is>
      </c>
      <c r="E7" s="7" t="n">
        <v>185000</v>
      </c>
      <c r="F7" s="7" t="n">
        <v>92500</v>
      </c>
      <c r="G7" s="8">
        <f>E7+F7</f>
        <v/>
      </c>
    </row>
    <row r="8">
      <c r="A8" s="4" t="n">
        <v>3</v>
      </c>
      <c r="B8" s="5" t="inlineStr">
        <is>
          <t>Mumbai Fabric House Pvt Ltd</t>
        </is>
      </c>
      <c r="C8" s="6" t="inlineStr">
        <is>
          <t>27AABCM9012N1ZR</t>
        </is>
      </c>
      <c r="D8" s="5" t="inlineStr">
        <is>
          <t>30-Apr-24</t>
        </is>
      </c>
      <c r="E8" s="7" t="n">
        <v>240000</v>
      </c>
      <c r="F8" s="7" t="n">
        <v>120000</v>
      </c>
      <c r="G8" s="8">
        <f>E8+F8</f>
        <v/>
      </c>
    </row>
    <row r="9">
      <c r="A9" s="4" t="n">
        <v>4</v>
      </c>
      <c r="B9" s="5" t="inlineStr">
        <is>
          <t>Surat Textile Traders</t>
        </is>
      </c>
      <c r="C9" s="6" t="inlineStr">
        <is>
          <t>24AABCS3456P1ZS</t>
        </is>
      </c>
      <c r="D9" s="5" t="inlineStr">
        <is>
          <t>10-May-24</t>
        </is>
      </c>
      <c r="E9" s="7" t="n">
        <v>175000</v>
      </c>
      <c r="F9" s="7" t="n">
        <v>87500</v>
      </c>
      <c r="G9" s="8">
        <f>E9+F9</f>
        <v/>
      </c>
    </row>
    <row r="10">
      <c r="A10" s="4" t="n">
        <v>5</v>
      </c>
      <c r="B10" s="5" t="inlineStr">
        <is>
          <t>Karnataka Dye &amp; Chemicals</t>
        </is>
      </c>
      <c r="C10" s="6" t="inlineStr">
        <is>
          <t>29AABCK7890Q1ZT</t>
        </is>
      </c>
      <c r="D10" s="5" t="inlineStr">
        <is>
          <t>18-May-24</t>
        </is>
      </c>
      <c r="E10" s="7" t="n">
        <v>130000</v>
      </c>
      <c r="F10" s="7" t="n">
        <v>65000</v>
      </c>
      <c r="G10" s="8">
        <f>E10+F10</f>
        <v/>
      </c>
    </row>
    <row r="11">
      <c r="A11" s="4" t="n">
        <v>6</v>
      </c>
      <c r="B11" s="5" t="inlineStr">
        <is>
          <t>Delhi Packaging Solutions</t>
        </is>
      </c>
      <c r="C11" s="6" t="inlineStr">
        <is>
          <t>07AABCD2345R1ZU</t>
        </is>
      </c>
      <c r="D11" s="5" t="inlineStr">
        <is>
          <t>25-May-24</t>
        </is>
      </c>
      <c r="E11" s="7" t="n">
        <v>95000</v>
      </c>
      <c r="F11" s="7" t="n">
        <v>47500</v>
      </c>
      <c r="G11" s="8">
        <f>E11+F11</f>
        <v/>
      </c>
    </row>
    <row r="12">
      <c r="A12" s="4" t="n">
        <v>7</v>
      </c>
      <c r="B12" s="5" t="inlineStr">
        <is>
          <t>Ahmedabad Machinery Works</t>
        </is>
      </c>
      <c r="C12" s="6" t="inlineStr">
        <is>
          <t>24AABCA5678S1ZV</t>
        </is>
      </c>
      <c r="D12" s="5" t="inlineStr">
        <is>
          <t>05-Jun-24</t>
        </is>
      </c>
      <c r="E12" s="7" t="n">
        <v>210000</v>
      </c>
      <c r="F12" s="7" t="n">
        <v>105000</v>
      </c>
      <c r="G12" s="8">
        <f>E12+F12</f>
        <v/>
      </c>
    </row>
    <row r="13">
      <c r="A13" s="4" t="n">
        <v>8</v>
      </c>
      <c r="B13" s="5" t="inlineStr">
        <is>
          <t>Pune Accessories Pvt Ltd</t>
        </is>
      </c>
      <c r="C13" s="6" t="inlineStr">
        <is>
          <t>27AABCP8901T1ZW</t>
        </is>
      </c>
      <c r="D13" s="5" t="inlineStr">
        <is>
          <t>20-Jun-24</t>
        </is>
      </c>
      <c r="E13" s="7" t="n">
        <v>145000</v>
      </c>
      <c r="F13" s="7" t="n">
        <v>72500</v>
      </c>
      <c r="G13" s="8">
        <f>E13+F13</f>
        <v/>
      </c>
    </row>
    <row r="14">
      <c r="A14" s="4" t="n">
        <v>9</v>
      </c>
      <c r="B14" s="5" t="inlineStr">
        <is>
          <t>Chennai Thread Company</t>
        </is>
      </c>
      <c r="C14" s="6" t="inlineStr">
        <is>
          <t>33AABCC1234U1ZX</t>
        </is>
      </c>
      <c r="D14" s="5" t="inlineStr">
        <is>
          <t>08-Jul-24</t>
        </is>
      </c>
      <c r="E14" s="7" t="n">
        <v>160000</v>
      </c>
      <c r="F14" s="7" t="n">
        <v>80000</v>
      </c>
      <c r="G14" s="8">
        <f>E14+F14</f>
        <v/>
      </c>
    </row>
    <row r="15">
      <c r="A15" s="4" t="n">
        <v>10</v>
      </c>
      <c r="B15" s="5" t="inlineStr">
        <is>
          <t>Ludhiana Knitting Mills</t>
        </is>
      </c>
      <c r="C15" s="6" t="inlineStr">
        <is>
          <t>03AABCL4567V1ZY</t>
        </is>
      </c>
      <c r="D15" s="5" t="inlineStr">
        <is>
          <t>22-Jul-24</t>
        </is>
      </c>
      <c r="E15" s="7" t="n">
        <v>195000</v>
      </c>
      <c r="F15" s="7" t="n">
        <v>97500</v>
      </c>
      <c r="G15" s="8">
        <f>E15+F15</f>
        <v/>
      </c>
    </row>
    <row r="16">
      <c r="A16" s="4" t="n">
        <v>11</v>
      </c>
      <c r="B16" s="5" t="inlineStr">
        <is>
          <t>Hyderabad Zipper Co.</t>
        </is>
      </c>
      <c r="C16" s="6" t="inlineStr">
        <is>
          <t>36AABCH7890W1ZZ</t>
        </is>
      </c>
      <c r="D16" s="5" t="inlineStr">
        <is>
          <t>14-Aug-24</t>
        </is>
      </c>
      <c r="E16" s="7" t="n">
        <v>110000</v>
      </c>
      <c r="F16" s="7" t="n">
        <v>55000</v>
      </c>
      <c r="G16" s="8">
        <f>E16+F16</f>
        <v/>
      </c>
    </row>
    <row r="17">
      <c r="A17" s="4" t="n">
        <v>12</v>
      </c>
      <c r="B17" s="5" t="inlineStr">
        <is>
          <t>Kolkata Button &amp; Trimming Pvt Ltd</t>
        </is>
      </c>
      <c r="C17" s="6" t="inlineStr">
        <is>
          <t>19AABCK2345X1ZA</t>
        </is>
      </c>
      <c r="D17" s="5" t="inlineStr">
        <is>
          <t>28-Aug-24</t>
        </is>
      </c>
      <c r="E17" s="7" t="n">
        <v>88000</v>
      </c>
      <c r="F17" s="7" t="n">
        <v>44000</v>
      </c>
      <c r="G17" s="8">
        <f>E17+F17</f>
        <v/>
      </c>
    </row>
    <row r="18">
      <c r="A18" s="4" t="n">
        <v>13</v>
      </c>
      <c r="B18" s="5" t="inlineStr">
        <is>
          <t>Nagpur Elastic Suppliers</t>
        </is>
      </c>
      <c r="C18" s="6" t="inlineStr">
        <is>
          <t>27AABCN5678Y1ZB</t>
        </is>
      </c>
      <c r="D18" s="5" t="inlineStr">
        <is>
          <t>15-Sep-24</t>
        </is>
      </c>
      <c r="E18" s="7" t="n">
        <v>75000</v>
      </c>
      <c r="F18" s="7" t="n">
        <v>37500</v>
      </c>
      <c r="G18" s="8">
        <f>E18+F18</f>
        <v/>
      </c>
    </row>
    <row r="19">
      <c r="A19" s="4" t="n">
        <v>14</v>
      </c>
      <c r="B19" s="5" t="inlineStr">
        <is>
          <t>Jaipur Printing Works</t>
        </is>
      </c>
      <c r="C19" s="6" t="inlineStr">
        <is>
          <t>08AABCJ8901Z1ZC</t>
        </is>
      </c>
      <c r="D19" s="5" t="inlineStr">
        <is>
          <t>30-Sep-24</t>
        </is>
      </c>
      <c r="E19" s="7" t="n">
        <v>165000</v>
      </c>
      <c r="F19" s="7" t="n">
        <v>82500</v>
      </c>
      <c r="G19" s="8">
        <f>E19+F19</f>
        <v/>
      </c>
    </row>
    <row r="20">
      <c r="A20" s="4" t="n">
        <v>15</v>
      </c>
      <c r="B20" s="5" t="inlineStr">
        <is>
          <t>Coimbatore Spinning Mills</t>
        </is>
      </c>
      <c r="C20" s="6" t="inlineStr">
        <is>
          <t>33AABCC3456A2ZD</t>
        </is>
      </c>
      <c r="D20" s="5" t="inlineStr">
        <is>
          <t>12-Oct-24</t>
        </is>
      </c>
      <c r="E20" s="7" t="n">
        <v>280000</v>
      </c>
      <c r="F20" s="7" t="n">
        <v>140000</v>
      </c>
      <c r="G20" s="8">
        <f>E20+F20</f>
        <v/>
      </c>
    </row>
    <row r="21">
      <c r="A21" s="4" t="n">
        <v>16</v>
      </c>
      <c r="B21" s="5" t="inlineStr">
        <is>
          <t>Tirupur Garment Accessories</t>
        </is>
      </c>
      <c r="C21" s="6" t="inlineStr">
        <is>
          <t>33AABCT6789B2ZE</t>
        </is>
      </c>
      <c r="D21" s="5" t="inlineStr">
        <is>
          <t>28-Oct-24</t>
        </is>
      </c>
      <c r="E21" s="7" t="n">
        <v>92000</v>
      </c>
      <c r="F21" s="7" t="n">
        <v>46000</v>
      </c>
      <c r="G21" s="8">
        <f>E21+F21</f>
        <v/>
      </c>
    </row>
    <row r="22">
      <c r="A22" s="4" t="n">
        <v>17</v>
      </c>
      <c r="B22" s="5" t="inlineStr">
        <is>
          <t>Surat Embroidery House</t>
        </is>
      </c>
      <c r="C22" s="6" t="inlineStr">
        <is>
          <t>24AABCS0123C2ZF</t>
        </is>
      </c>
      <c r="D22" s="5" t="inlineStr">
        <is>
          <t>10-Nov-24</t>
        </is>
      </c>
      <c r="E22" s="7" t="n">
        <v>118000</v>
      </c>
      <c r="F22" s="7" t="n">
        <v>59000</v>
      </c>
      <c r="G22" s="8">
        <f>E22+F22</f>
        <v/>
      </c>
    </row>
    <row r="23">
      <c r="A23" s="4" t="n">
        <v>18</v>
      </c>
      <c r="B23" s="5" t="inlineStr">
        <is>
          <t>Indore Cotton Ginners</t>
        </is>
      </c>
      <c r="C23" s="6" t="inlineStr">
        <is>
          <t>23AABCI3456D2ZG</t>
        </is>
      </c>
      <c r="D23" s="5" t="inlineStr">
        <is>
          <t>25-Nov-24</t>
        </is>
      </c>
      <c r="E23" s="7" t="n">
        <v>155000</v>
      </c>
      <c r="F23" s="7" t="n">
        <v>77500</v>
      </c>
      <c r="G23" s="8">
        <f>E23+F23</f>
        <v/>
      </c>
    </row>
    <row r="24">
      <c r="A24" s="4" t="n">
        <v>19</v>
      </c>
      <c r="B24" s="5" t="inlineStr">
        <is>
          <t>Bhopal Logistics Services</t>
        </is>
      </c>
      <c r="C24" s="6" t="inlineStr">
        <is>
          <t>23AABCB6789E2ZH</t>
        </is>
      </c>
      <c r="D24" s="5" t="inlineStr">
        <is>
          <t>08-Dec-24</t>
        </is>
      </c>
      <c r="E24" s="7" t="n">
        <v>62000</v>
      </c>
      <c r="F24" s="7" t="n">
        <v>31000</v>
      </c>
      <c r="G24" s="8">
        <f>E24+F24</f>
        <v/>
      </c>
    </row>
    <row r="25">
      <c r="A25" s="4" t="n">
        <v>20</v>
      </c>
      <c r="B25" s="5" t="inlineStr">
        <is>
          <t>Noida Button Mfg Co.</t>
        </is>
      </c>
      <c r="C25" s="6" t="inlineStr">
        <is>
          <t>09AABCN9012F2ZI</t>
        </is>
      </c>
      <c r="D25" s="5" t="inlineStr">
        <is>
          <t>22-Dec-24</t>
        </is>
      </c>
      <c r="E25" s="7" t="n">
        <v>84000</v>
      </c>
      <c r="F25" s="7" t="n">
        <v>42000</v>
      </c>
      <c r="G25" s="8">
        <f>E25+F25</f>
        <v/>
      </c>
    </row>
    <row r="27">
      <c r="B27" s="9" t="inlineStr">
        <is>
          <t>TOTAL ITC AS PER GSTR-2A</t>
        </is>
      </c>
      <c r="E27" s="10">
        <f>SUM(E6:E25)</f>
        <v/>
      </c>
      <c r="F27" s="10">
        <f>SUM(F6:F25)</f>
        <v/>
      </c>
      <c r="G27" s="10">
        <f>SUM(G6:G25)</f>
        <v/>
      </c>
    </row>
    <row r="30" ht="22" customHeight="1">
      <c r="A30" s="11" t="inlineStr">
        <is>
          <t>⚠️  ITC RECONCILIATION ALERT — CRITICAL MISMATCH DETECTED</t>
        </is>
      </c>
    </row>
    <row r="31">
      <c r="B31" s="12" t="inlineStr">
        <is>
          <t>ITC Claimed in GSTR-3B (Self-declared)</t>
        </is>
      </c>
      <c r="E31" s="13" t="inlineStr">
        <is>
          <t>₹1,20,00,000</t>
        </is>
      </c>
    </row>
    <row r="32">
      <c r="B32" s="12" t="inlineStr">
        <is>
          <t>ITC Available in GSTR-2A (Supplier-declared)</t>
        </is>
      </c>
      <c r="E32" s="13" t="inlineStr">
        <is>
          <t>₹44,97,500</t>
        </is>
      </c>
    </row>
    <row r="33">
      <c r="B33" s="12" t="inlineStr">
        <is>
          <t>EXCESS ITC CLAIMED (GAP)</t>
        </is>
      </c>
      <c r="E33" s="13" t="inlineStr">
        <is>
          <t>₹75,02,500</t>
        </is>
      </c>
    </row>
    <row r="34">
      <c r="B34" s="12" t="inlineStr">
        <is>
          <t>Gap as % of ITC Claimed</t>
        </is>
      </c>
      <c r="E34" s="13" t="inlineStr">
        <is>
          <t>62.5%</t>
        </is>
      </c>
    </row>
    <row r="35">
      <c r="B35" s="12" t="inlineStr">
        <is>
          <t>RBI/GST Dept Threshold for Flag</t>
        </is>
      </c>
      <c r="E35" s="13" t="inlineStr">
        <is>
          <t>10%</t>
        </is>
      </c>
    </row>
    <row r="36">
      <c r="B36" s="12" t="inlineStr">
        <is>
          <t>Risk Classification</t>
        </is>
      </c>
      <c r="E36" s="13" t="inlineStr">
        <is>
          <t>🔴 CRITICAL — POSSIBLE ITC FRAUD</t>
        </is>
      </c>
    </row>
  </sheetData>
  <mergeCells count="4">
    <mergeCell ref="A30:G30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2026-03-06T17:04:54Z</dcterms:created>
  <dcterms:modified xmlns:dcterms="http://purl.org/dc/terms/" xmlns:xsi="http://www.w3.org/2001/XMLSchema-instance" xsi:type="dcterms:W3CDTF">2026-03-06T17:04:54Z</dcterms:modified>
</cp:coreProperties>
</file>